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nsfer Recommendations" sheetId="2" state="visible" r:id="rId4"/>
    <sheet name="Raw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<sst xmlns="http://schemas.openxmlformats.org/spreadsheetml/2006/main" count="117" uniqueCount="66">
  <si>
    <t xml:space="preserve">ProGear Direct — Multi-Warehouse Inventory Rebalancer</t>
  </si>
  <si>
    <t xml:space="preserve">Monitoring Period: Sep – Nov  |  Warehouses: Northeast (NE) · Southeast (SE) · West Coast (WC)</t>
  </si>
  <si>
    <t xml:space="preserve">SKU</t>
  </si>
  <si>
    <t xml:space="preserve">Product</t>
  </si>
  <si>
    <t xml:space="preserve">Min Stock</t>
  </si>
  <si>
    <t xml:space="preserve">NE On Hand</t>
  </si>
  <si>
    <t xml:space="preserve">SE On Hand</t>
  </si>
  <si>
    <t xml:space="preserve">WC On Hand</t>
  </si>
  <si>
    <t xml:space="preserve">Total On Hand</t>
  </si>
  <si>
    <t xml:space="preserve">Total Demand (Wk)</t>
  </si>
  <si>
    <t xml:space="preserve">Weeks of Supply</t>
  </si>
  <si>
    <t xml:space="preserve">NE Status</t>
  </si>
  <si>
    <t xml:space="preserve">SE Status</t>
  </si>
  <si>
    <t xml:space="preserve">WC Status</t>
  </si>
  <si>
    <t xml:space="preserve">PGD-BBALL</t>
  </si>
  <si>
    <t xml:space="preserve">Basketball (Official Size 7)</t>
  </si>
  <si>
    <t xml:space="preserve">PGD-SBALL</t>
  </si>
  <si>
    <t xml:space="preserve">Soccer Ball (Size 5, Match)</t>
  </si>
  <si>
    <t xml:space="preserve">PGD-FBHELM</t>
  </si>
  <si>
    <t xml:space="preserve">Football Helmet (Youth Medium)</t>
  </si>
  <si>
    <t xml:space="preserve">PGD-YOGA</t>
  </si>
  <si>
    <t xml:space="preserve">Yoga Mat (6mm Non-Slip, 6-pack)</t>
  </si>
  <si>
    <t xml:space="preserve">PGD-DBELL</t>
  </si>
  <si>
    <t xml:space="preserve">Adjustable Dumbbell Set (5-50 lb)</t>
  </si>
  <si>
    <t xml:space="preserve">PGD-RESIST</t>
  </si>
  <si>
    <t xml:space="preserve">Resistance Band Set (5-piece)</t>
  </si>
  <si>
    <t xml:space="preserve">PGD-JUMP</t>
  </si>
  <si>
    <t xml:space="preserve">Jump Rope (Speed Cable)</t>
  </si>
  <si>
    <t xml:space="preserve">PGD-LACR</t>
  </si>
  <si>
    <t xml:space="preserve">Lacrosse Stick (Adult Composite)</t>
  </si>
  <si>
    <t xml:space="preserve">PGD-TENN</t>
  </si>
  <si>
    <t xml:space="preserve">Tennis Racket (Intermediate)</t>
  </si>
  <si>
    <t xml:space="preserve">PGD-GLOVE</t>
  </si>
  <si>
    <t xml:space="preserve">Baseball Glove (Youth 11.5")</t>
  </si>
  <si>
    <t xml:space="preserve">TOTALS</t>
  </si>
  <si>
    <t xml:space="preserve">Legend</t>
  </si>
  <si>
    <t xml:space="preserve">✅ OK</t>
  </si>
  <si>
    <t xml:space="preserve">On hand ≥ min stock</t>
  </si>
  <si>
    <t xml:space="preserve">⚠️ LOW</t>
  </si>
  <si>
    <t xml:space="preserve">On hand &lt; min stock</t>
  </si>
  <si>
    <t xml:space="preserve">🔴 CRITICAL</t>
  </si>
  <si>
    <t xml:space="preserve">On hand &lt; 50% of min — transfer recommended</t>
  </si>
  <si>
    <t xml:space="preserve">Blue cells = editable input values</t>
  </si>
  <si>
    <t xml:space="preserve">Transfer Recommendations — Back-to-School &amp; Fall Season</t>
  </si>
  <si>
    <t xml:space="preserve">Update on-hand values in Dashboard tab to refresh status flags, then revise quantities below.</t>
  </si>
  <si>
    <t xml:space="preserve">From Warehouse</t>
  </si>
  <si>
    <t xml:space="preserve">To Warehouse</t>
  </si>
  <si>
    <t xml:space="preserve">Qty to Transfer</t>
  </si>
  <si>
    <t xml:space="preserve">Priority</t>
  </si>
  <si>
    <t xml:space="preserve">Est. Transit Days</t>
  </si>
  <si>
    <t xml:space="preserve">Notes</t>
  </si>
  <si>
    <t xml:space="preserve">Northeast (NE)</t>
  </si>
  <si>
    <t xml:space="preserve">Southeast (SE)</t>
  </si>
  <si>
    <t xml:space="preserve">HIGH</t>
  </si>
  <si>
    <t xml:space="preserve">SE critically low; NE has surplus vs demand</t>
  </si>
  <si>
    <t xml:space="preserve">Adjustable Dumbbell Set</t>
  </si>
  <si>
    <t xml:space="preserve">NE below 50% min; SE well-stocked</t>
  </si>
  <si>
    <t xml:space="preserve">West Coast (WC)</t>
  </si>
  <si>
    <t xml:space="preserve">NE critically low — only 5 units on hand</t>
  </si>
  <si>
    <t xml:space="preserve">MEDIUM</t>
  </si>
  <si>
    <t xml:space="preserve">SE approaching min threshold</t>
  </si>
  <si>
    <t xml:space="preserve">WC below min; SE has comfortable surplus</t>
  </si>
  <si>
    <t xml:space="preserve">LOW</t>
  </si>
  <si>
    <t xml:space="preserve">NE slightly below min; SE heavily overstocked</t>
  </si>
  <si>
    <t xml:space="preserve">Raw Inventory Data — Edit here; Dashboard pulls from this sheet</t>
  </si>
  <si>
    <t xml:space="preserve">Weekly Demand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</si>
</sst>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i val="true"/>
      <sz val="11"/>
      <color rgb="FF5555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4D2B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8EFD9"/>
        <bgColor rgb="FFE2EFDA"/>
      </patternFill>
    </fill>
    <fill>
      <patternFill patternType="solid">
        <fgColor rgb="FF2E7D32"/>
        <bgColor rgb="FF008000"/>
      </patternFill>
    </fill>
    <fill>
      <patternFill patternType="solid">
        <fgColor rgb="FFFFDDC1"/>
        <bgColor rgb="FFFFFACD"/>
      </patternFill>
    </fill>
    <fill>
      <patternFill patternType="solid">
        <fgColor rgb="FFFFFACD"/>
        <bgColor rgb="FFF2F2F2"/>
      </patternFill>
    </fill>
    <fill>
      <patternFill patternType="solid">
        <fgColor rgb="FFE2EFDA"/>
        <bgColor rgb="FFD8EF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8EFD9"/>
      <rgbColor rgb="FFFFFF99"/>
      <rgbColor rgb="FF99CCFF"/>
      <rgbColor rgb="FFFF99CC"/>
      <rgbColor rgb="FFCC99FF"/>
      <rgbColor rgb="FFFFDDC1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2E7D32"/>
      <rgbColor rgb="FF003300"/>
      <rgbColor rgb="FF333300"/>
      <rgbColor rgb="FF993300"/>
      <rgbColor rgb="FF993366"/>
      <rgbColor rgb="FF333399"/>
      <rgbColor rgb="FF1E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2" min="10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6" t="n">
        <v>30</v>
      </c>
      <c r="D5" s="7" t="n">
        <v>48</v>
      </c>
      <c r="E5" s="7" t="n">
        <v>12</v>
      </c>
      <c r="F5" s="7" t="n">
        <v>35</v>
      </c>
      <c r="G5" s="7" t="n">
        <f aca="false">D5+E5+F5</f>
        <v>95</v>
      </c>
      <c r="H5" s="6" t="n">
        <v>95</v>
      </c>
      <c r="I5" s="8" t="n">
        <f aca="false">IFERROR(G5/H5,"-")</f>
        <v>1</v>
      </c>
      <c r="J5" s="4" t="str">
        <f aca="false">IF(D5&lt;C5*0.5,"🔴 CRITICAL",IF(D5&lt;C5,"⚠️ LOW","✅ OK"))</f>
        <v>✅ OK</v>
      </c>
      <c r="K5" s="4" t="str">
        <f aca="false">IF(E5&lt;C5*0.5,"🔴 CRITICAL",IF(E5&lt;C5,"⚠️ LOW","✅ OK"))</f>
        <v>🔴 CRITICAL</v>
      </c>
      <c r="L5" s="4" t="str">
        <f aca="false">IF(F5&lt;C5*0.5,"🔴 CRITICAL",IF(F5&lt;C5,"⚠️ LOW","✅ OK"))</f>
        <v>✅ OK</v>
      </c>
    </row>
    <row r="6" customFormat="false" ht="15" hidden="false" customHeight="false" outlineLevel="0" collapsed="false">
      <c r="A6" s="9" t="s">
        <v>16</v>
      </c>
      <c r="B6" s="10" t="s">
        <v>17</v>
      </c>
      <c r="C6" s="11" t="n">
        <v>40</v>
      </c>
      <c r="D6" s="12" t="n">
        <v>15</v>
      </c>
      <c r="E6" s="12" t="n">
        <v>55</v>
      </c>
      <c r="F6" s="12" t="n">
        <v>20</v>
      </c>
      <c r="G6" s="12" t="n">
        <f aca="false">D6+E6+F6</f>
        <v>90</v>
      </c>
      <c r="H6" s="11" t="n">
        <v>110</v>
      </c>
      <c r="I6" s="13" t="n">
        <f aca="false">IFERROR(G6/H6,"-")</f>
        <v>0.818181818181818</v>
      </c>
      <c r="J6" s="9" t="str">
        <f aca="false">IF(D6&lt;C6*0.5,"🔴 CRITICAL",IF(D6&lt;C6,"⚠️ LOW","✅ OK"))</f>
        <v>🔴 CRITICAL</v>
      </c>
      <c r="K6" s="9" t="str">
        <f aca="false">IF(E6&lt;C6*0.5,"🔴 CRITICAL",IF(E6&lt;C6,"⚠️ LOW","✅ OK"))</f>
        <v>✅ OK</v>
      </c>
      <c r="L6" s="9" t="str">
        <f aca="false">IF(F6&lt;C6*0.5,"🔴 CRITICAL",IF(F6&lt;C6,"⚠️ LOW","✅ OK"))</f>
        <v>⚠️ LOW</v>
      </c>
    </row>
    <row r="7" customFormat="false" ht="15" hidden="false" customHeight="false" outlineLevel="0" collapsed="false">
      <c r="A7" s="4" t="s">
        <v>18</v>
      </c>
      <c r="B7" s="5" t="s">
        <v>19</v>
      </c>
      <c r="C7" s="6" t="n">
        <v>20</v>
      </c>
      <c r="D7" s="7" t="n">
        <v>8</v>
      </c>
      <c r="E7" s="7" t="n">
        <v>30</v>
      </c>
      <c r="F7" s="7" t="n">
        <v>14</v>
      </c>
      <c r="G7" s="7" t="n">
        <f aca="false">D7+E7+F7</f>
        <v>52</v>
      </c>
      <c r="H7" s="6" t="n">
        <v>50</v>
      </c>
      <c r="I7" s="8" t="n">
        <f aca="false">IFERROR(G7/H7,"-")</f>
        <v>1.04</v>
      </c>
      <c r="J7" s="4" t="str">
        <f aca="false">IF(D7&lt;C7*0.5,"🔴 CRITICAL",IF(D7&lt;C7,"⚠️ LOW","✅ OK"))</f>
        <v>🔴 CRITICAL</v>
      </c>
      <c r="K7" s="4" t="str">
        <f aca="false">IF(E7&lt;C7*0.5,"🔴 CRITICAL",IF(E7&lt;C7,"⚠️ LOW","✅ OK"))</f>
        <v>✅ OK</v>
      </c>
      <c r="L7" s="4" t="str">
        <f aca="false">IF(F7&lt;C7*0.5,"🔴 CRITICAL",IF(F7&lt;C7,"⚠️ LOW","✅ OK"))</f>
        <v>⚠️ LOW</v>
      </c>
    </row>
    <row r="8" customFormat="false" ht="15" hidden="false" customHeight="false" outlineLevel="0" collapsed="false">
      <c r="A8" s="9" t="s">
        <v>20</v>
      </c>
      <c r="B8" s="10" t="s">
        <v>21</v>
      </c>
      <c r="C8" s="11" t="n">
        <v>25</v>
      </c>
      <c r="D8" s="12" t="n">
        <v>60</v>
      </c>
      <c r="E8" s="12" t="n">
        <v>18</v>
      </c>
      <c r="F8" s="12" t="n">
        <v>10</v>
      </c>
      <c r="G8" s="12" t="n">
        <f aca="false">D8+E8+F8</f>
        <v>88</v>
      </c>
      <c r="H8" s="11" t="n">
        <v>75</v>
      </c>
      <c r="I8" s="13" t="n">
        <f aca="false">IFERROR(G8/H8,"-")</f>
        <v>1.17333333333333</v>
      </c>
      <c r="J8" s="9" t="str">
        <f aca="false">IF(D8&lt;C8*0.5,"🔴 CRITICAL",IF(D8&lt;C8,"⚠️ LOW","✅ OK"))</f>
        <v>✅ OK</v>
      </c>
      <c r="K8" s="9" t="str">
        <f aca="false">IF(E8&lt;C8*0.5,"🔴 CRITICAL",IF(E8&lt;C8,"⚠️ LOW","✅ OK"))</f>
        <v>⚠️ LOW</v>
      </c>
      <c r="L8" s="9" t="str">
        <f aca="false">IF(F8&lt;C8*0.5,"🔴 CRITICAL",IF(F8&lt;C8,"⚠️ LOW","✅ OK"))</f>
        <v>🔴 CRITICAL</v>
      </c>
    </row>
    <row r="9" customFormat="false" ht="15" hidden="false" customHeight="false" outlineLevel="0" collapsed="false">
      <c r="A9" s="4" t="s">
        <v>22</v>
      </c>
      <c r="B9" s="5" t="s">
        <v>23</v>
      </c>
      <c r="C9" s="6" t="n">
        <v>15</v>
      </c>
      <c r="D9" s="7" t="n">
        <v>6</v>
      </c>
      <c r="E9" s="7" t="n">
        <v>28</v>
      </c>
      <c r="F9" s="7" t="n">
        <v>22</v>
      </c>
      <c r="G9" s="7" t="n">
        <f aca="false">D9+E9+F9</f>
        <v>56</v>
      </c>
      <c r="H9" s="6" t="n">
        <v>45</v>
      </c>
      <c r="I9" s="8" t="n">
        <f aca="false">IFERROR(G9/H9,"-")</f>
        <v>1.24444444444444</v>
      </c>
      <c r="J9" s="4" t="str">
        <f aca="false">IF(D9&lt;C9*0.5,"🔴 CRITICAL",IF(D9&lt;C9,"⚠️ LOW","✅ OK"))</f>
        <v>🔴 CRITICAL</v>
      </c>
      <c r="K9" s="4" t="str">
        <f aca="false">IF(E9&lt;C9*0.5,"🔴 CRITICAL",IF(E9&lt;C9,"⚠️ LOW","✅ OK"))</f>
        <v>✅ OK</v>
      </c>
      <c r="L9" s="4" t="str">
        <f aca="false">IF(F9&lt;C9*0.5,"🔴 CRITICAL",IF(F9&lt;C9,"⚠️ LOW","✅ OK"))</f>
        <v>✅ OK</v>
      </c>
    </row>
    <row r="10" customFormat="false" ht="15" hidden="false" customHeight="false" outlineLevel="0" collapsed="false">
      <c r="A10" s="9" t="s">
        <v>24</v>
      </c>
      <c r="B10" s="10" t="s">
        <v>25</v>
      </c>
      <c r="C10" s="11" t="n">
        <v>50</v>
      </c>
      <c r="D10" s="12" t="n">
        <v>130</v>
      </c>
      <c r="E10" s="12" t="n">
        <v>40</v>
      </c>
      <c r="F10" s="12" t="n">
        <v>80</v>
      </c>
      <c r="G10" s="12" t="n">
        <f aca="false">D10+E10+F10</f>
        <v>250</v>
      </c>
      <c r="H10" s="11" t="n">
        <v>160</v>
      </c>
      <c r="I10" s="13" t="n">
        <f aca="false">IFERROR(G10/H10,"-")</f>
        <v>1.5625</v>
      </c>
      <c r="J10" s="9" t="str">
        <f aca="false">IF(D10&lt;C10*0.5,"🔴 CRITICAL",IF(D10&lt;C10,"⚠️ LOW","✅ OK"))</f>
        <v>✅ OK</v>
      </c>
      <c r="K10" s="9" t="str">
        <f aca="false">IF(E10&lt;C10*0.5,"🔴 CRITICAL",IF(E10&lt;C10,"⚠️ LOW","✅ OK"))</f>
        <v>⚠️ LOW</v>
      </c>
      <c r="L10" s="9" t="str">
        <f aca="false">IF(F10&lt;C10*0.5,"🔴 CRITICAL",IF(F10&lt;C10,"⚠️ LOW","✅ OK"))</f>
        <v>✅ OK</v>
      </c>
    </row>
    <row r="11" customFormat="false" ht="15" hidden="false" customHeight="false" outlineLevel="0" collapsed="false">
      <c r="A11" s="4" t="s">
        <v>26</v>
      </c>
      <c r="B11" s="5" t="s">
        <v>27</v>
      </c>
      <c r="C11" s="6" t="n">
        <v>60</v>
      </c>
      <c r="D11" s="7" t="n">
        <v>20</v>
      </c>
      <c r="E11" s="7" t="n">
        <v>90</v>
      </c>
      <c r="F11" s="7" t="n">
        <v>45</v>
      </c>
      <c r="G11" s="7" t="n">
        <f aca="false">D11+E11+F11</f>
        <v>155</v>
      </c>
      <c r="H11" s="6" t="n">
        <v>140</v>
      </c>
      <c r="I11" s="8" t="n">
        <f aca="false">IFERROR(G11/H11,"-")</f>
        <v>1.10714285714286</v>
      </c>
      <c r="J11" s="4" t="str">
        <f aca="false">IF(D11&lt;C11*0.5,"🔴 CRITICAL",IF(D11&lt;C11,"⚠️ LOW","✅ OK"))</f>
        <v>🔴 CRITICAL</v>
      </c>
      <c r="K11" s="4" t="str">
        <f aca="false">IF(E11&lt;C11*0.5,"🔴 CRITICAL",IF(E11&lt;C11,"⚠️ LOW","✅ OK"))</f>
        <v>✅ OK</v>
      </c>
      <c r="L11" s="4" t="str">
        <f aca="false">IF(F11&lt;C11*0.5,"🔴 CRITICAL",IF(F11&lt;C11,"⚠️ LOW","✅ OK"))</f>
        <v>⚠️ LOW</v>
      </c>
    </row>
    <row r="12" customFormat="false" ht="15" hidden="false" customHeight="false" outlineLevel="0" collapsed="false">
      <c r="A12" s="9" t="s">
        <v>28</v>
      </c>
      <c r="B12" s="10" t="s">
        <v>29</v>
      </c>
      <c r="C12" s="11" t="n">
        <v>20</v>
      </c>
      <c r="D12" s="12" t="n">
        <v>5</v>
      </c>
      <c r="E12" s="12" t="n">
        <v>14</v>
      </c>
      <c r="F12" s="12" t="n">
        <v>32</v>
      </c>
      <c r="G12" s="12" t="n">
        <f aca="false">D12+E12+F12</f>
        <v>51</v>
      </c>
      <c r="H12" s="11" t="n">
        <v>48</v>
      </c>
      <c r="I12" s="13" t="n">
        <f aca="false">IFERROR(G12/H12,"-")</f>
        <v>1.0625</v>
      </c>
      <c r="J12" s="9" t="str">
        <f aca="false">IF(D12&lt;C12*0.5,"🔴 CRITICAL",IF(D12&lt;C12,"⚠️ LOW","✅ OK"))</f>
        <v>🔴 CRITICAL</v>
      </c>
      <c r="K12" s="9" t="str">
        <f aca="false">IF(E12&lt;C12*0.5,"🔴 CRITICAL",IF(E12&lt;C12,"⚠️ LOW","✅ OK"))</f>
        <v>⚠️ LOW</v>
      </c>
      <c r="L12" s="9" t="str">
        <f aca="false">IF(F12&lt;C12*0.5,"🔴 CRITICAL",IF(F12&lt;C12,"⚠️ LOW","✅ OK"))</f>
        <v>✅ OK</v>
      </c>
    </row>
    <row r="13" customFormat="false" ht="15" hidden="false" customHeight="false" outlineLevel="0" collapsed="false">
      <c r="A13" s="4" t="s">
        <v>30</v>
      </c>
      <c r="B13" s="5" t="s">
        <v>31</v>
      </c>
      <c r="C13" s="6" t="n">
        <v>25</v>
      </c>
      <c r="D13" s="7" t="n">
        <v>55</v>
      </c>
      <c r="E13" s="7" t="n">
        <v>10</v>
      </c>
      <c r="F13" s="7" t="n">
        <v>18</v>
      </c>
      <c r="G13" s="7" t="n">
        <f aca="false">D13+E13+F13</f>
        <v>83</v>
      </c>
      <c r="H13" s="6" t="n">
        <v>65</v>
      </c>
      <c r="I13" s="8" t="n">
        <f aca="false">IFERROR(G13/H13,"-")</f>
        <v>1.27692307692308</v>
      </c>
      <c r="J13" s="4" t="str">
        <f aca="false">IF(D13&lt;C13*0.5,"🔴 CRITICAL",IF(D13&lt;C13,"⚠️ LOW","✅ OK"))</f>
        <v>✅ OK</v>
      </c>
      <c r="K13" s="4" t="str">
        <f aca="false">IF(E13&lt;C13*0.5,"🔴 CRITICAL",IF(E13&lt;C13,"⚠️ LOW","✅ OK"))</f>
        <v>🔴 CRITICAL</v>
      </c>
      <c r="L13" s="4" t="str">
        <f aca="false">IF(F13&lt;C13*0.5,"🔴 CRITICAL",IF(F13&lt;C13,"⚠️ LOW","✅ OK"))</f>
        <v>⚠️ LOW</v>
      </c>
    </row>
    <row r="14" customFormat="false" ht="15" hidden="false" customHeight="false" outlineLevel="0" collapsed="false">
      <c r="A14" s="9" t="s">
        <v>32</v>
      </c>
      <c r="B14" s="10" t="s">
        <v>33</v>
      </c>
      <c r="C14" s="11" t="n">
        <v>30</v>
      </c>
      <c r="D14" s="12" t="n">
        <v>12</v>
      </c>
      <c r="E14" s="12" t="n">
        <v>45</v>
      </c>
      <c r="F14" s="12" t="n">
        <v>26</v>
      </c>
      <c r="G14" s="12" t="n">
        <f aca="false">D14+E14+F14</f>
        <v>83</v>
      </c>
      <c r="H14" s="11" t="n">
        <v>70</v>
      </c>
      <c r="I14" s="13" t="n">
        <f aca="false">IFERROR(G14/H14,"-")</f>
        <v>1.18571428571429</v>
      </c>
      <c r="J14" s="9" t="str">
        <f aca="false">IF(D14&lt;C14*0.5,"🔴 CRITICAL",IF(D14&lt;C14,"⚠️ LOW","✅ OK"))</f>
        <v>🔴 CRITICAL</v>
      </c>
      <c r="K14" s="9" t="str">
        <f aca="false">IF(E14&lt;C14*0.5,"🔴 CRITICAL",IF(E14&lt;C14,"⚠️ LOW","✅ OK"))</f>
        <v>✅ OK</v>
      </c>
      <c r="L14" s="9" t="str">
        <f aca="false">IF(F14&lt;C14*0.5,"🔴 CRITICAL",IF(F14&lt;C14,"⚠️ LOW","✅ OK"))</f>
        <v>⚠️ LOW</v>
      </c>
    </row>
    <row r="15" customFormat="false" ht="3.75" hidden="false" customHeight="true" outlineLevel="0" collapsed="false"/>
    <row r="16" customFormat="false" ht="15" hidden="false" customHeight="false" outlineLevel="0" collapsed="false">
      <c r="A16" s="14" t="s">
        <v>34</v>
      </c>
      <c r="B16" s="14"/>
      <c r="C16" s="14"/>
      <c r="D16" s="15" t="n">
        <f aca="false">SUM(D5:D14)</f>
        <v>359</v>
      </c>
      <c r="E16" s="15" t="n">
        <f aca="false">SUM(E5:E14)</f>
        <v>342</v>
      </c>
      <c r="F16" s="15" t="n">
        <f aca="false">SUM(F5:F14)</f>
        <v>302</v>
      </c>
      <c r="G16" s="15" t="n">
        <f aca="false">SUM(G5:G14)</f>
        <v>1003</v>
      </c>
      <c r="H16" s="15" t="n">
        <f aca="false">SUM(H5:H14)</f>
        <v>858</v>
      </c>
      <c r="I16" s="16" t="n">
        <f aca="false">IFERROR(G16/H16,"-")</f>
        <v>1.16899766899767</v>
      </c>
      <c r="J16" s="17"/>
      <c r="K16" s="17"/>
      <c r="L16" s="17"/>
    </row>
    <row r="18" customFormat="false" ht="15" hidden="false" customHeight="false" outlineLevel="0" collapsed="false">
      <c r="A18" s="18" t="s">
        <v>35</v>
      </c>
    </row>
    <row r="19" customFormat="false" ht="15" hidden="false" customHeight="false" outlineLevel="0" collapsed="false">
      <c r="A19" s="19" t="s">
        <v>36</v>
      </c>
      <c r="B19" s="20" t="s">
        <v>37</v>
      </c>
    </row>
    <row r="20" customFormat="false" ht="15" hidden="false" customHeight="false" outlineLevel="0" collapsed="false">
      <c r="A20" s="19" t="s">
        <v>38</v>
      </c>
      <c r="B20" s="20" t="s">
        <v>39</v>
      </c>
    </row>
    <row r="21" customFormat="false" ht="15" hidden="false" customHeight="false" outlineLevel="0" collapsed="false">
      <c r="A21" s="19" t="s">
        <v>40</v>
      </c>
      <c r="B21" s="20" t="s">
        <v>41</v>
      </c>
    </row>
    <row r="23" customFormat="false" ht="15" hidden="false" customHeight="false" outlineLevel="0" collapsed="false">
      <c r="A23" s="21" t="s">
        <v>42</v>
      </c>
    </row>
  </sheetData>
  <mergeCells count="3">
    <mergeCell ref="A1:L1"/>
    <mergeCell ref="A2:L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27.75" hidden="false" customHeight="true" outlineLevel="0" collapsed="false">
      <c r="A1" s="22" t="s">
        <v>43</v>
      </c>
      <c r="B1" s="22"/>
      <c r="C1" s="22"/>
      <c r="D1" s="22"/>
      <c r="E1" s="22"/>
      <c r="F1" s="22"/>
      <c r="G1" s="22"/>
      <c r="H1" s="22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15" hidden="false" customHeight="false" outlineLevel="0" collapsed="false">
      <c r="A4" s="23" t="s">
        <v>2</v>
      </c>
      <c r="B4" s="23" t="s">
        <v>3</v>
      </c>
      <c r="C4" s="23" t="s">
        <v>45</v>
      </c>
      <c r="D4" s="23" t="s">
        <v>46</v>
      </c>
      <c r="E4" s="23" t="s">
        <v>47</v>
      </c>
      <c r="F4" s="23" t="s">
        <v>48</v>
      </c>
      <c r="G4" s="23" t="s">
        <v>49</v>
      </c>
      <c r="H4" s="23" t="s">
        <v>50</v>
      </c>
    </row>
    <row r="5" customFormat="false" ht="15" hidden="false" customHeight="false" outlineLevel="0" collapsed="false">
      <c r="A5" s="4" t="s">
        <v>14</v>
      </c>
      <c r="B5" s="5" t="s">
        <v>15</v>
      </c>
      <c r="C5" s="4" t="s">
        <v>51</v>
      </c>
      <c r="D5" s="4" t="s">
        <v>52</v>
      </c>
      <c r="E5" s="7" t="n">
        <v>20</v>
      </c>
      <c r="F5" s="24" t="s">
        <v>53</v>
      </c>
      <c r="G5" s="4" t="n">
        <v>2</v>
      </c>
      <c r="H5" s="5" t="s">
        <v>54</v>
      </c>
    </row>
    <row r="6" customFormat="false" ht="15" hidden="false" customHeight="false" outlineLevel="0" collapsed="false">
      <c r="A6" s="9" t="s">
        <v>22</v>
      </c>
      <c r="B6" s="10" t="s">
        <v>55</v>
      </c>
      <c r="C6" s="9" t="s">
        <v>52</v>
      </c>
      <c r="D6" s="9" t="s">
        <v>51</v>
      </c>
      <c r="E6" s="12" t="n">
        <v>12</v>
      </c>
      <c r="F6" s="24" t="s">
        <v>53</v>
      </c>
      <c r="G6" s="9" t="n">
        <v>2</v>
      </c>
      <c r="H6" s="10" t="s">
        <v>56</v>
      </c>
    </row>
    <row r="7" customFormat="false" ht="15" hidden="false" customHeight="false" outlineLevel="0" collapsed="false">
      <c r="A7" s="4" t="s">
        <v>28</v>
      </c>
      <c r="B7" s="5" t="s">
        <v>29</v>
      </c>
      <c r="C7" s="4" t="s">
        <v>57</v>
      </c>
      <c r="D7" s="4" t="s">
        <v>51</v>
      </c>
      <c r="E7" s="7" t="n">
        <v>8</v>
      </c>
      <c r="F7" s="24" t="s">
        <v>53</v>
      </c>
      <c r="G7" s="4" t="n">
        <v>4</v>
      </c>
      <c r="H7" s="5" t="s">
        <v>58</v>
      </c>
    </row>
    <row r="8" customFormat="false" ht="15" hidden="false" customHeight="false" outlineLevel="0" collapsed="false">
      <c r="A8" s="9" t="s">
        <v>30</v>
      </c>
      <c r="B8" s="10" t="s">
        <v>31</v>
      </c>
      <c r="C8" s="9" t="s">
        <v>51</v>
      </c>
      <c r="D8" s="9" t="s">
        <v>52</v>
      </c>
      <c r="E8" s="12" t="n">
        <v>18</v>
      </c>
      <c r="F8" s="25" t="s">
        <v>59</v>
      </c>
      <c r="G8" s="9" t="n">
        <v>2</v>
      </c>
      <c r="H8" s="10" t="s">
        <v>60</v>
      </c>
    </row>
    <row r="9" customFormat="false" ht="15" hidden="false" customHeight="false" outlineLevel="0" collapsed="false">
      <c r="A9" s="4" t="s">
        <v>32</v>
      </c>
      <c r="B9" s="5" t="s">
        <v>33</v>
      </c>
      <c r="C9" s="4" t="s">
        <v>52</v>
      </c>
      <c r="D9" s="4" t="s">
        <v>57</v>
      </c>
      <c r="E9" s="7" t="n">
        <v>10</v>
      </c>
      <c r="F9" s="25" t="s">
        <v>59</v>
      </c>
      <c r="G9" s="4" t="n">
        <v>4</v>
      </c>
      <c r="H9" s="5" t="s">
        <v>61</v>
      </c>
    </row>
    <row r="10" customFormat="false" ht="15" hidden="false" customHeight="false" outlineLevel="0" collapsed="false">
      <c r="A10" s="9" t="s">
        <v>26</v>
      </c>
      <c r="B10" s="10" t="s">
        <v>27</v>
      </c>
      <c r="C10" s="9" t="s">
        <v>52</v>
      </c>
      <c r="D10" s="9" t="s">
        <v>51</v>
      </c>
      <c r="E10" s="12" t="n">
        <v>25</v>
      </c>
      <c r="F10" s="26" t="s">
        <v>62</v>
      </c>
      <c r="G10" s="9" t="n">
        <v>2</v>
      </c>
      <c r="H10" s="10" t="s">
        <v>63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7" min="3" style="0" width="14"/>
  </cols>
  <sheetData>
    <row r="1" customFormat="false" ht="15" hidden="false" customHeight="false" outlineLevel="0" collapsed="false">
      <c r="A1" s="27" t="s">
        <v>64</v>
      </c>
      <c r="B1" s="27"/>
      <c r="C1" s="27"/>
      <c r="D1" s="27"/>
      <c r="E1" s="27"/>
      <c r="F1" s="27"/>
      <c r="G1" s="27"/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65</v>
      </c>
    </row>
    <row r="3" customFormat="false" ht="15" hidden="false" customHeight="false" outlineLevel="0" collapsed="false">
      <c r="A3" s="4" t="s">
        <v>14</v>
      </c>
      <c r="B3" s="5" t="s">
        <v>15</v>
      </c>
      <c r="C3" s="6" t="n">
        <v>30</v>
      </c>
      <c r="D3" s="6" t="n">
        <v>48</v>
      </c>
      <c r="E3" s="6" t="n">
        <v>12</v>
      </c>
      <c r="F3" s="6" t="n">
        <v>35</v>
      </c>
      <c r="G3" s="6" t="n">
        <v>95</v>
      </c>
    </row>
    <row r="4" customFormat="false" ht="15" hidden="false" customHeight="false" outlineLevel="0" collapsed="false">
      <c r="A4" s="9" t="s">
        <v>16</v>
      </c>
      <c r="B4" s="10" t="s">
        <v>17</v>
      </c>
      <c r="C4" s="11" t="n">
        <v>40</v>
      </c>
      <c r="D4" s="11" t="n">
        <v>15</v>
      </c>
      <c r="E4" s="11" t="n">
        <v>55</v>
      </c>
      <c r="F4" s="11" t="n">
        <v>20</v>
      </c>
      <c r="G4" s="11" t="n">
        <v>110</v>
      </c>
    </row>
    <row r="5" customFormat="false" ht="15" hidden="false" customHeight="false" outlineLevel="0" collapsed="false">
      <c r="A5" s="4" t="s">
        <v>18</v>
      </c>
      <c r="B5" s="5" t="s">
        <v>19</v>
      </c>
      <c r="C5" s="6" t="n">
        <v>20</v>
      </c>
      <c r="D5" s="6" t="n">
        <v>8</v>
      </c>
      <c r="E5" s="6" t="n">
        <v>30</v>
      </c>
      <c r="F5" s="6" t="n">
        <v>14</v>
      </c>
      <c r="G5" s="6" t="n">
        <v>50</v>
      </c>
    </row>
    <row r="6" customFormat="false" ht="15" hidden="false" customHeight="false" outlineLevel="0" collapsed="false">
      <c r="A6" s="9" t="s">
        <v>20</v>
      </c>
      <c r="B6" s="10" t="s">
        <v>21</v>
      </c>
      <c r="C6" s="11" t="n">
        <v>25</v>
      </c>
      <c r="D6" s="11" t="n">
        <v>60</v>
      </c>
      <c r="E6" s="11" t="n">
        <v>18</v>
      </c>
      <c r="F6" s="11" t="n">
        <v>10</v>
      </c>
      <c r="G6" s="11" t="n">
        <v>75</v>
      </c>
    </row>
    <row r="7" customFormat="false" ht="15" hidden="false" customHeight="false" outlineLevel="0" collapsed="false">
      <c r="A7" s="4" t="s">
        <v>22</v>
      </c>
      <c r="B7" s="5" t="s">
        <v>23</v>
      </c>
      <c r="C7" s="6" t="n">
        <v>15</v>
      </c>
      <c r="D7" s="6" t="n">
        <v>6</v>
      </c>
      <c r="E7" s="6" t="n">
        <v>28</v>
      </c>
      <c r="F7" s="6" t="n">
        <v>22</v>
      </c>
      <c r="G7" s="6" t="n">
        <v>45</v>
      </c>
    </row>
    <row r="8" customFormat="false" ht="15" hidden="false" customHeight="false" outlineLevel="0" collapsed="false">
      <c r="A8" s="9" t="s">
        <v>24</v>
      </c>
      <c r="B8" s="10" t="s">
        <v>25</v>
      </c>
      <c r="C8" s="11" t="n">
        <v>50</v>
      </c>
      <c r="D8" s="11" t="n">
        <v>130</v>
      </c>
      <c r="E8" s="11" t="n">
        <v>40</v>
      </c>
      <c r="F8" s="11" t="n">
        <v>80</v>
      </c>
      <c r="G8" s="11" t="n">
        <v>160</v>
      </c>
    </row>
    <row r="9" customFormat="false" ht="15" hidden="false" customHeight="false" outlineLevel="0" collapsed="false">
      <c r="A9" s="4" t="s">
        <v>26</v>
      </c>
      <c r="B9" s="5" t="s">
        <v>27</v>
      </c>
      <c r="C9" s="6" t="n">
        <v>60</v>
      </c>
      <c r="D9" s="6" t="n">
        <v>20</v>
      </c>
      <c r="E9" s="6" t="n">
        <v>90</v>
      </c>
      <c r="F9" s="6" t="n">
        <v>45</v>
      </c>
      <c r="G9" s="6" t="n">
        <v>140</v>
      </c>
    </row>
    <row r="10" customFormat="false" ht="15" hidden="false" customHeight="false" outlineLevel="0" collapsed="false">
      <c r="A10" s="9" t="s">
        <v>28</v>
      </c>
      <c r="B10" s="10" t="s">
        <v>29</v>
      </c>
      <c r="C10" s="11" t="n">
        <v>20</v>
      </c>
      <c r="D10" s="11" t="n">
        <v>5</v>
      </c>
      <c r="E10" s="11" t="n">
        <v>14</v>
      </c>
      <c r="F10" s="11" t="n">
        <v>32</v>
      </c>
      <c r="G10" s="11" t="n">
        <v>48</v>
      </c>
    </row>
    <row r="11" customFormat="false" ht="15" hidden="false" customHeight="false" outlineLevel="0" collapsed="false">
      <c r="A11" s="4" t="s">
        <v>30</v>
      </c>
      <c r="B11" s="5" t="s">
        <v>31</v>
      </c>
      <c r="C11" s="6" t="n">
        <v>25</v>
      </c>
      <c r="D11" s="6" t="n">
        <v>55</v>
      </c>
      <c r="E11" s="6" t="n">
        <v>10</v>
      </c>
      <c r="F11" s="6" t="n">
        <v>18</v>
      </c>
      <c r="G11" s="6" t="n">
        <v>65</v>
      </c>
    </row>
    <row r="12" customFormat="false" ht="15" hidden="false" customHeight="false" outlineLevel="0" collapsed="false">
      <c r="A12" s="9" t="s">
        <v>32</v>
      </c>
      <c r="B12" s="10" t="s">
        <v>33</v>
      </c>
      <c r="C12" s="11" t="n">
        <v>30</v>
      </c>
      <c r="D12" s="11" t="n">
        <v>12</v>
      </c>
      <c r="E12" s="11" t="n">
        <v>45</v>
      </c>
      <c r="F12" s="11" t="n">
        <v>26</v>
      </c>
      <c r="G12" s="11" t="n">
        <v>70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2026-06-17T00:14:20Z</dcterms:created>
  <dc:creator>openpyxl</dc:creator>
  <dc:description/>
  <dc:language>en-US</dc:language>
  <cp:lastModifiedBy/>
  <dcterms:modified xsi:type="dcterms:W3CDTF">2026-06-17T00:14:20Z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